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  <sheet name="Resumen por cic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<sst xmlns="http://schemas.openxmlformats.org/spreadsheetml/2006/main" count="189" uniqueCount="102">
  <si>
    <t xml:space="preserve">INVENTARIO DE DOCUMENTOS AUXILIARES — DOCENTE</t>
  </si>
  <si>
    <t xml:space="preserve">Entorno: Métodos Cuantitativos en Investigación · DTI · Código 203538899</t>
  </si>
  <si>
    <t xml:space="preserve">#</t>
  </si>
  <si>
    <t xml:space="preserve">Ciclo</t>
  </si>
  <si>
    <t xml:space="preserve">Semana(s)</t>
  </si>
  <si>
    <t xml:space="preserve">Documento / Artefacto</t>
  </si>
  <si>
    <t xml:space="preserve">Tipo</t>
  </si>
  <si>
    <t xml:space="preserve">Descripción</t>
  </si>
  <si>
    <t xml:space="preserve">Prioridad</t>
  </si>
  <si>
    <t xml:space="preserve">Estado</t>
  </si>
  <si>
    <t xml:space="preserve">Fecha entrega
(estimada)</t>
  </si>
  <si>
    <t xml:space="preserve">Observaciones</t>
  </si>
  <si>
    <t xml:space="preserve">Ciclo 1</t>
  </si>
  <si>
    <t xml:space="preserve">Sem. 0</t>
  </si>
  <si>
    <t xml:space="preserve">Notebook de verificación de entorno</t>
  </si>
  <si>
    <t xml:space="preserve">Jupyter Notebook</t>
  </si>
  <si>
    <t xml:space="preserve">entorno_verificacion.ipynb — comprueba pandas, scipy, statsmodels, scikit-learn, matplotlib, seaborn, pingouin. Imprime mensaje de confirmación.</t>
  </si>
  <si>
    <t xml:space="preserve">Alta</t>
  </si>
  <si>
    <t xml:space="preserve">Pendiente</t>
  </si>
  <si>
    <t xml:space="preserve">Listo</t>
  </si>
  <si>
    <t xml:space="preserve">Guía de instalación de Anaconda</t>
  </si>
  <si>
    <t xml:space="preserve">Documento PDF/Word</t>
  </si>
  <si>
    <t xml:space="preserve">Instrucciones paso a paso para instalar Anaconda (versión más reciente). Incluye alternativa con Google Colab y solución de problemas comunes.</t>
  </si>
  <si>
    <t xml:space="preserve">Sem. 2</t>
  </si>
  <si>
    <t xml:space="preserve">Artículo modelo para webconferencia</t>
  </si>
  <si>
    <t xml:space="preserve">Artículo científico</t>
  </si>
  <si>
    <t xml:space="preserve">Artículo empírico cuantitativo en TI que el docente analiza en vivo (Semana 2). Distinto a los del banco. Acceso garantizado para la cohorte.</t>
  </si>
  <si>
    <t xml:space="preserve">Banco de artículos científicos</t>
  </si>
  <si>
    <t xml:space="preserve">Colección de archivos</t>
  </si>
  <si>
    <t xml:space="preserve">8 artículos empíricos cuantitativos (revistas A1/A2), mínimo 1 por línea del DTI: CRIC, IASC, IoTCI y ADVTD. Sin duplicados entre estudiantes.</t>
  </si>
  <si>
    <t xml:space="preserve">listo</t>
  </si>
  <si>
    <t xml:space="preserve">Plantilla de análisis metodológico</t>
  </si>
  <si>
    <t xml:space="preserve">Plantilla Word</t>
  </si>
  <si>
    <t xml:space="preserve">Campos estructurados: paradigma epistemológico, tipo de estudio, variables y constructos, muestreo, amenazas a la validez (4 categorías Wohlin), ética y transparencia.</t>
  </si>
  <si>
    <t xml:space="preserve">Sem. 3</t>
  </si>
  <si>
    <t xml:space="preserve">Notebook plantilla de potencia estadística</t>
  </si>
  <si>
    <t xml:space="preserve">potencia_plantilla.ipynb — código base de statsmodels.stats.power ya estructurado. Celdas Markdown con preguntas de interpretación que el estudiante completa.</t>
  </si>
  <si>
    <t xml:space="preserve">Sem. 4</t>
  </si>
  <si>
    <t xml:space="preserve">Rúbrica / formato de evaluación Ciclo 1</t>
  </si>
  <si>
    <t xml:space="preserve">Rúbrica</t>
  </si>
  <si>
    <t xml:space="preserve">Criterios con niveles alto/medio/bajo/no presentado para las 4 secciones del Reporte de Análisis Metodológico. Total: 100 pts.</t>
  </si>
  <si>
    <t xml:space="preserve">Ciclo 2</t>
  </si>
  <si>
    <t xml:space="preserve">Sem. 5</t>
  </si>
  <si>
    <t xml:space="preserve">Dataset real de TI de la cohorte</t>
  </si>
  <si>
    <t xml:space="preserve">Dataset (.csv / .xlsx)</t>
  </si>
  <si>
    <t xml:space="preserve">Dataset único para toda la cohorte. Incluye fuente, contexto de recolección y el problema analítico rector que orienta los análisis sin prescribir métodos.</t>
  </si>
  <si>
    <t xml:space="preserve">Diccionario de variables del dataset</t>
  </si>
  <si>
    <t xml:space="preserve">Nombre, tipo, escala de medición, descripción y valores posibles de cada variable. Indispensable para la reproducibilidad del análisis.</t>
  </si>
  <si>
    <t xml:space="preserve">Guía de inicio rápido del dataset</t>
  </si>
  <si>
    <t xml:space="preserve">Instrucciones de carga, exploración inicial y contexto del problema analítico rector. Orienta las decisiones analíticas de la Semana 5.</t>
  </si>
  <si>
    <t xml:space="preserve">Sem. 7</t>
  </si>
  <si>
    <t xml:space="preserve">Notebook plantilla diagnóstico de regresión</t>
  </si>
  <si>
    <t xml:space="preserve">diagnostico_regresion_plantilla.ipynb — esqueleto completo con VIF (variance_inflation_factor), Breusch-Pagan, distancia de Cook, Q-Q plot y gráfico residuos vs. predichos. Cada celda de código tiene celdas Markdown de interpretación.</t>
  </si>
  <si>
    <t xml:space="preserve">Sem. 8–10</t>
  </si>
  <si>
    <t xml:space="preserve">Notebook ejemplo — Opción 1: SEM / Multivariante</t>
  </si>
  <si>
    <t xml:space="preserve">Análisis trabajado completo: PCA (sklearn), EFA/CFA (factor_analyzer), SEM (semopy). Índices de ajuste CFI, RMSEA, SRMR. Recomendado para IASC, ADVTD, CRIC.</t>
  </si>
  <si>
    <t xml:space="preserve">Media</t>
  </si>
  <si>
    <t xml:space="preserve">Notebook ejemplo — Opción 2: Series temporales</t>
  </si>
  <si>
    <t xml:space="preserve">Análisis trabajado completo: descomposición (seasonal_decompose), ADF, ajuste ARIMA, evaluación RMSE/MAE en conjunto de prueba. Recomendado para IoTCI, CRIC.</t>
  </si>
  <si>
    <t xml:space="preserve">Notebook ejemplo — Opción 3: Inferencia bayesiana</t>
  </si>
  <si>
    <t xml:space="preserve">Análisis trabajado completo con PyMC: priors justificados, MCMC (NUTS), diagnóstico R-hat y trace plots con arviz, HDI, comparación frecuentista-bayesiana. Para CRIC, IASC.</t>
  </si>
  <si>
    <t xml:space="preserve">Notebook ejemplo — Opción 4: Evaluación estadística de ML</t>
  </si>
  <si>
    <t xml:space="preserve">Análisis trabajado: ≥3 clasificadores, validación cruzada anidada (RepeatedKFold), McNemar (mlxtend), prueba de Demšar. Métricas como variables dependientes. Para IASC, ADVTD.</t>
  </si>
  <si>
    <t xml:space="preserve">Sem. 11</t>
  </si>
  <si>
    <t xml:space="preserve">Guía y plantilla de code review entre pares</t>
  </si>
  <si>
    <t xml:space="preserve">Criterios de revisión: (a) reproducibilidad, (b) documentación Markdown, (c) corrección estadística Parte 1, (d) calidad Parte 2, (e) README y repositorio FAIR. Máx. 1 página.</t>
  </si>
  <si>
    <t xml:space="preserve">Sem. 12</t>
  </si>
  <si>
    <t xml:space="preserve">Formato de evaluación de capacidades Ciclo 2</t>
  </si>
  <si>
    <t xml:space="preserve">5 criterios: EDA y comparación (40 pts), regresión lineal/logística (40 pts), técnica avanzada (40 pts), reproducibilidad FAIR (30 pts), reporte + code review (50 pts). Total: 200 pts.</t>
  </si>
  <si>
    <t xml:space="preserve">Ciclo 3</t>
  </si>
  <si>
    <t xml:space="preserve">Sem. 13</t>
  </si>
  <si>
    <t xml:space="preserve">Plantilla del Protocolo Metodológico</t>
  </si>
  <si>
    <t xml:space="preserve">Estructura de 10 secciones con indicaciones de extensión, campos guía y ejemplos: posicionamiento epistemológico, hipótesis, operacionalización, diseño, muestra, plan de análisis, sensibilidad, ética, reproducibilidad y cronograma.</t>
  </si>
  <si>
    <t xml:space="preserve">Sem. 13–14</t>
  </si>
  <si>
    <t xml:space="preserve">Formato de registro de tutoría individual</t>
  </si>
  <si>
    <t xml:space="preserve">Plantilla para constancia de las 2 tutorías (Semanas 13 y 14): fecha, temas abordados, retroalimentación dada, acuerdos de mejora y firma del docente.</t>
  </si>
  <si>
    <t xml:space="preserve">Sem. 15</t>
  </si>
  <si>
    <t xml:space="preserve">Plantilla de presentación para el Coloquio</t>
  </si>
  <si>
    <t xml:space="preserve">Plantilla PowerPoint</t>
  </si>
  <si>
    <t xml:space="preserve">Diapositivas base (15 min): contextualización del problema, posicionamiento epistemológico, diseño y variables, plan de análisis estadístico con Python esquemático, reproducibilidad y cronograma. Estructura visual institucional UNAD.</t>
  </si>
  <si>
    <t xml:space="preserve">Sem. 16</t>
  </si>
  <si>
    <t xml:space="preserve">Guía del Coloquio doctoral</t>
  </si>
  <si>
    <t xml:space="preserve">Protocolo de la sesión: roles de jurados, tiempo por estudiante (15 min presentación + 10 min preguntas), criterios de evaluación oral, normas de participación como audiencia y registro de asistencia.</t>
  </si>
  <si>
    <t xml:space="preserve">Rúbrica de evaluación del Coloquio</t>
  </si>
  <si>
    <t xml:space="preserve">Criterios para la defensa oral: dominio del diseño metodológico, claridad de comunicación científica, calidad de diapositivas, pertinencia de respuestas a preguntas de jurados. Total: 200 pts.</t>
  </si>
  <si>
    <t xml:space="preserve">TOTAL DE DOCUMENTOS A PRODUCIR</t>
  </si>
  <si>
    <t xml:space="preserve">RESUMEN POR CICLO</t>
  </si>
  <si>
    <t xml:space="preserve">Total docs</t>
  </si>
  <si>
    <t xml:space="preserve">Alta prioridad</t>
  </si>
  <si>
    <t xml:space="preserve">Notebooks</t>
  </si>
  <si>
    <t xml:space="preserve">Plantillas / Docs</t>
  </si>
  <si>
    <t xml:space="preserve">Ciclo 1 — Lectura crítica (100 pts)</t>
  </si>
  <si>
    <t xml:space="preserve">Ciclo 2 — Análisis cuantitativo integral (200 pts)</t>
  </si>
  <si>
    <t xml:space="preserve">Ciclo 3 — Coloquio doctoral (200 pts)</t>
  </si>
  <si>
    <t xml:space="preserve">TOTAL</t>
  </si>
  <si>
    <t xml:space="preserve">Leyenda — columna Estado (hoja Inventario)</t>
  </si>
  <si>
    <t xml:space="preserve">Aún no iniciado</t>
  </si>
  <si>
    <t xml:space="preserve">En proceso</t>
  </si>
  <si>
    <t xml:space="preserve">En elaboración</t>
  </si>
  <si>
    <t xml:space="preserve">Completado y disponible</t>
  </si>
  <si>
    <t xml:space="preserve">Bloqueado</t>
  </si>
  <si>
    <t xml:space="preserve">Requiere decisión o recurso externo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</si>
</sst>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A00000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80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0"/>
      <color rgb="FF806000"/>
      <name val="Arial"/>
      <family val="0"/>
      <charset val="1"/>
    </font>
    <font>
      <b val="true"/>
      <sz val="10"/>
      <color rgb="FF1B6E2A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E1E2E"/>
        <bgColor rgb="FF2D2D3E"/>
      </patternFill>
    </fill>
    <fill>
      <patternFill patternType="solid">
        <fgColor rgb="FF2D2D3E"/>
        <bgColor rgb="FF1E1E2E"/>
      </patternFill>
    </fill>
    <fill>
      <patternFill patternType="solid">
        <fgColor rgb="FFEEEDFE"/>
        <bgColor rgb="FFE8EAF6"/>
      </patternFill>
    </fill>
    <fill>
      <patternFill patternType="solid">
        <fgColor rgb="FF4A3F8F"/>
        <bgColor rgb="FF444444"/>
      </patternFill>
    </fill>
    <fill>
      <patternFill patternType="solid">
        <fgColor rgb="FFFFE0E0"/>
        <bgColor rgb="FFFAECE7"/>
      </patternFill>
    </fill>
    <fill>
      <patternFill patternType="solid">
        <fgColor rgb="FFF5F5F5"/>
        <bgColor rgb="FFEEEDFE"/>
      </patternFill>
    </fill>
    <fill>
      <patternFill patternType="solid">
        <fgColor rgb="FFE0DEFF"/>
        <bgColor rgb="FFE8EAF6"/>
      </patternFill>
    </fill>
    <fill>
      <patternFill patternType="solid">
        <fgColor rgb="FFC8EAD8"/>
        <bgColor rgb="FFE1F5EE"/>
      </patternFill>
    </fill>
    <fill>
      <patternFill patternType="solid">
        <fgColor rgb="FF0A6B4E"/>
        <bgColor rgb="FF1B6E2A"/>
      </patternFill>
    </fill>
    <fill>
      <patternFill patternType="solid">
        <fgColor rgb="FFE1F5EE"/>
        <bgColor rgb="FFE8F5E9"/>
      </patternFill>
    </fill>
    <fill>
      <patternFill patternType="solid">
        <fgColor rgb="FFFFF9E0"/>
        <bgColor rgb="FFFFF9C4"/>
      </patternFill>
    </fill>
    <fill>
      <patternFill patternType="solid">
        <fgColor rgb="FFF4D0C5"/>
        <bgColor rgb="FFFFE0E0"/>
      </patternFill>
    </fill>
    <fill>
      <patternFill patternType="solid">
        <fgColor rgb="FF8A2A10"/>
        <bgColor rgb="FF993366"/>
      </patternFill>
    </fill>
    <fill>
      <patternFill patternType="solid">
        <fgColor rgb="FFFAECE7"/>
        <bgColor rgb="FFF5F5F5"/>
      </patternFill>
    </fill>
    <fill>
      <patternFill patternType="solid">
        <fgColor rgb="FFE8EAF6"/>
        <bgColor rgb="FFEEEDFE"/>
      </patternFill>
    </fill>
    <fill>
      <patternFill patternType="solid">
        <fgColor rgb="FFFFF9C4"/>
        <bgColor rgb="FFFFF9E0"/>
      </patternFill>
    </fill>
    <fill>
      <patternFill patternType="solid">
        <fgColor rgb="FFE8F5E9"/>
        <bgColor rgb="FFE1F5E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AAAAAA"/>
      </top>
      <bottom style="medium">
        <color rgb="FFAAAAAA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medium">
        <color rgb="FFD0D0D0"/>
      </left>
      <right/>
      <top style="medium">
        <color rgb="FFD0D0D0"/>
      </top>
      <bottom style="medium">
        <color rgb="FFD0D0D0"/>
      </bottom>
      <diagonal/>
    </border>
    <border diagonalUp="false" diagonalDown="false"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1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1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AECE7"/>
      <rgbColor rgb="FFFF00FF"/>
      <rgbColor rgb="FF00FFFF"/>
      <rgbColor rgb="FFA00000"/>
      <rgbColor rgb="FF1B6E2A"/>
      <rgbColor rgb="FF000080"/>
      <rgbColor rgb="FF806000"/>
      <rgbColor rgb="FF800080"/>
      <rgbColor rgb="FF0A6B4E"/>
      <rgbColor rgb="FFCCCCCC"/>
      <rgbColor rgb="FF808080"/>
      <rgbColor rgb="FFEEEDFE"/>
      <rgbColor rgb="FF993366"/>
      <rgbColor rgb="FFFFF9C4"/>
      <rgbColor rgb="FFE1F5EE"/>
      <rgbColor rgb="FF660066"/>
      <rgbColor rgb="FFFF8080"/>
      <rgbColor rgb="FF0066CC"/>
      <rgbColor rgb="FFD0D0D0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E8F5E9"/>
      <rgbColor rgb="FFC8EAD8"/>
      <rgbColor rgb="FFFFF9E0"/>
      <rgbColor rgb="FFE0DEFF"/>
      <rgbColor rgb="FFFFE0E0"/>
      <rgbColor rgb="FFE8EAF6"/>
      <rgbColor rgb="FFF4D0C5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444444"/>
      <rgbColor rgb="FF339966"/>
      <rgbColor rgb="FF003300"/>
      <rgbColor rgb="FF1E1E2E"/>
      <rgbColor rgb="FF8A2A10"/>
      <rgbColor rgb="FF993366"/>
      <rgbColor rgb="FF4A3F8F"/>
      <rgbColor rgb="FF2D2D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I9" activeCellId="0" sqref="I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3" min="3" style="1" width="11"/>
    <col collapsed="false" customWidth="true" hidden="false" outlineLevel="0" max="4" min="4" style="1" width="36"/>
    <col collapsed="false" customWidth="true" hidden="false" outlineLevel="0" max="5" min="5" style="1" width="16"/>
    <col collapsed="false" customWidth="true" hidden="false" outlineLevel="0" max="6" min="6" style="1" width="48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3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36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51.75" hidden="false" customHeight="true" outlineLevel="0" collapsed="false">
      <c r="A4" s="5" t="n">
        <v>1</v>
      </c>
      <c r="B4" s="6" t="s">
        <v>12</v>
      </c>
      <c r="C4" s="7" t="s">
        <v>13</v>
      </c>
      <c r="D4" s="7" t="s">
        <v>14</v>
      </c>
      <c r="E4" s="7" t="s">
        <v>15</v>
      </c>
      <c r="F4" s="8" t="s">
        <v>16</v>
      </c>
      <c r="G4" s="9" t="s">
        <v>17</v>
      </c>
      <c r="H4" s="10" t="s">
        <v>18</v>
      </c>
      <c r="I4" s="11"/>
      <c r="J4" s="7" t="s">
        <v>19</v>
      </c>
    </row>
    <row r="5" customFormat="false" ht="51.75" hidden="false" customHeight="true" outlineLevel="0" collapsed="false">
      <c r="A5" s="12" t="n">
        <v>2</v>
      </c>
      <c r="B5" s="6" t="s">
        <v>12</v>
      </c>
      <c r="C5" s="13" t="s">
        <v>13</v>
      </c>
      <c r="D5" s="13" t="s">
        <v>20</v>
      </c>
      <c r="E5" s="13" t="s">
        <v>21</v>
      </c>
      <c r="F5" s="14" t="s">
        <v>22</v>
      </c>
      <c r="G5" s="9" t="s">
        <v>17</v>
      </c>
      <c r="H5" s="10" t="s">
        <v>18</v>
      </c>
      <c r="I5" s="15"/>
      <c r="J5" s="13"/>
    </row>
    <row r="6" customFormat="false" ht="51.75" hidden="false" customHeight="true" outlineLevel="0" collapsed="false">
      <c r="A6" s="5" t="n">
        <v>3</v>
      </c>
      <c r="B6" s="6" t="s">
        <v>12</v>
      </c>
      <c r="C6" s="7" t="s">
        <v>23</v>
      </c>
      <c r="D6" s="7" t="s">
        <v>24</v>
      </c>
      <c r="E6" s="7" t="s">
        <v>25</v>
      </c>
      <c r="F6" s="8" t="s">
        <v>26</v>
      </c>
      <c r="G6" s="9" t="s">
        <v>17</v>
      </c>
      <c r="H6" s="10" t="s">
        <v>18</v>
      </c>
      <c r="I6" s="11"/>
      <c r="J6" s="7"/>
    </row>
    <row r="7" customFormat="false" ht="51.75" hidden="false" customHeight="true" outlineLevel="0" collapsed="false">
      <c r="A7" s="12" t="n">
        <v>4</v>
      </c>
      <c r="B7" s="6" t="s">
        <v>12</v>
      </c>
      <c r="C7" s="13" t="s">
        <v>23</v>
      </c>
      <c r="D7" s="13" t="s">
        <v>27</v>
      </c>
      <c r="E7" s="13" t="s">
        <v>28</v>
      </c>
      <c r="F7" s="14" t="s">
        <v>29</v>
      </c>
      <c r="G7" s="9" t="s">
        <v>17</v>
      </c>
      <c r="H7" s="10" t="s">
        <v>18</v>
      </c>
      <c r="I7" s="15"/>
      <c r="J7" s="13" t="s">
        <v>30</v>
      </c>
    </row>
    <row r="8" customFormat="false" ht="51.75" hidden="false" customHeight="true" outlineLevel="0" collapsed="false">
      <c r="A8" s="5" t="n">
        <v>5</v>
      </c>
      <c r="B8" s="6" t="s">
        <v>12</v>
      </c>
      <c r="C8" s="7" t="s">
        <v>23</v>
      </c>
      <c r="D8" s="7" t="s">
        <v>31</v>
      </c>
      <c r="E8" s="7" t="s">
        <v>32</v>
      </c>
      <c r="F8" s="8" t="s">
        <v>33</v>
      </c>
      <c r="G8" s="9" t="s">
        <v>17</v>
      </c>
      <c r="H8" s="10" t="s">
        <v>18</v>
      </c>
      <c r="I8" s="11"/>
      <c r="J8" s="7" t="s">
        <v>30</v>
      </c>
    </row>
    <row r="9" customFormat="false" ht="51.75" hidden="false" customHeight="true" outlineLevel="0" collapsed="false">
      <c r="A9" s="12" t="n">
        <v>6</v>
      </c>
      <c r="B9" s="6" t="s">
        <v>12</v>
      </c>
      <c r="C9" s="13" t="s">
        <v>34</v>
      </c>
      <c r="D9" s="13" t="s">
        <v>35</v>
      </c>
      <c r="E9" s="13" t="s">
        <v>15</v>
      </c>
      <c r="F9" s="14" t="s">
        <v>36</v>
      </c>
      <c r="G9" s="9" t="s">
        <v>17</v>
      </c>
      <c r="H9" s="10" t="s">
        <v>18</v>
      </c>
      <c r="I9" s="15"/>
      <c r="J9" s="13"/>
    </row>
    <row r="10" customFormat="false" ht="51.75" hidden="false" customHeight="true" outlineLevel="0" collapsed="false">
      <c r="A10" s="5" t="n">
        <v>7</v>
      </c>
      <c r="B10" s="6" t="s">
        <v>12</v>
      </c>
      <c r="C10" s="7" t="s">
        <v>37</v>
      </c>
      <c r="D10" s="7" t="s">
        <v>38</v>
      </c>
      <c r="E10" s="7" t="s">
        <v>39</v>
      </c>
      <c r="F10" s="8" t="s">
        <v>40</v>
      </c>
      <c r="G10" s="9" t="s">
        <v>17</v>
      </c>
      <c r="H10" s="10" t="s">
        <v>18</v>
      </c>
      <c r="I10" s="11"/>
      <c r="J10" s="7"/>
    </row>
    <row r="11" customFormat="false" ht="51.75" hidden="false" customHeight="true" outlineLevel="0" collapsed="false">
      <c r="A11" s="16" t="n">
        <v>8</v>
      </c>
      <c r="B11" s="17" t="s">
        <v>41</v>
      </c>
      <c r="C11" s="18" t="s">
        <v>42</v>
      </c>
      <c r="D11" s="18" t="s">
        <v>43</v>
      </c>
      <c r="E11" s="18" t="s">
        <v>44</v>
      </c>
      <c r="F11" s="19" t="s">
        <v>45</v>
      </c>
      <c r="G11" s="9" t="s">
        <v>17</v>
      </c>
      <c r="H11" s="10" t="s">
        <v>18</v>
      </c>
      <c r="I11" s="20"/>
      <c r="J11" s="18"/>
    </row>
    <row r="12" customFormat="false" ht="51.75" hidden="false" customHeight="true" outlineLevel="0" collapsed="false">
      <c r="A12" s="21" t="n">
        <v>9</v>
      </c>
      <c r="B12" s="17" t="s">
        <v>41</v>
      </c>
      <c r="C12" s="22" t="s">
        <v>42</v>
      </c>
      <c r="D12" s="22" t="s">
        <v>46</v>
      </c>
      <c r="E12" s="22" t="s">
        <v>21</v>
      </c>
      <c r="F12" s="23" t="s">
        <v>47</v>
      </c>
      <c r="G12" s="9" t="s">
        <v>17</v>
      </c>
      <c r="H12" s="10" t="s">
        <v>18</v>
      </c>
      <c r="I12" s="24"/>
      <c r="J12" s="22"/>
    </row>
    <row r="13" customFormat="false" ht="51.75" hidden="false" customHeight="true" outlineLevel="0" collapsed="false">
      <c r="A13" s="16" t="n">
        <v>10</v>
      </c>
      <c r="B13" s="17" t="s">
        <v>41</v>
      </c>
      <c r="C13" s="18" t="s">
        <v>42</v>
      </c>
      <c r="D13" s="18" t="s">
        <v>48</v>
      </c>
      <c r="E13" s="18" t="s">
        <v>21</v>
      </c>
      <c r="F13" s="19" t="s">
        <v>49</v>
      </c>
      <c r="G13" s="9" t="s">
        <v>17</v>
      </c>
      <c r="H13" s="10" t="s">
        <v>18</v>
      </c>
      <c r="I13" s="20"/>
      <c r="J13" s="18"/>
    </row>
    <row r="14" customFormat="false" ht="51.75" hidden="false" customHeight="true" outlineLevel="0" collapsed="false">
      <c r="A14" s="21" t="n">
        <v>11</v>
      </c>
      <c r="B14" s="17" t="s">
        <v>41</v>
      </c>
      <c r="C14" s="22" t="s">
        <v>50</v>
      </c>
      <c r="D14" s="22" t="s">
        <v>51</v>
      </c>
      <c r="E14" s="22" t="s">
        <v>15</v>
      </c>
      <c r="F14" s="23" t="s">
        <v>52</v>
      </c>
      <c r="G14" s="9" t="s">
        <v>17</v>
      </c>
      <c r="H14" s="10" t="s">
        <v>18</v>
      </c>
      <c r="I14" s="24"/>
      <c r="J14" s="22"/>
    </row>
    <row r="15" customFormat="false" ht="51.75" hidden="false" customHeight="true" outlineLevel="0" collapsed="false">
      <c r="A15" s="16" t="n">
        <v>12</v>
      </c>
      <c r="B15" s="17" t="s">
        <v>41</v>
      </c>
      <c r="C15" s="18" t="s">
        <v>53</v>
      </c>
      <c r="D15" s="18" t="s">
        <v>54</v>
      </c>
      <c r="E15" s="18" t="s">
        <v>15</v>
      </c>
      <c r="F15" s="19" t="s">
        <v>55</v>
      </c>
      <c r="G15" s="25" t="s">
        <v>56</v>
      </c>
      <c r="H15" s="10" t="s">
        <v>18</v>
      </c>
      <c r="I15" s="20"/>
      <c r="J15" s="18"/>
    </row>
    <row r="16" customFormat="false" ht="51.75" hidden="false" customHeight="true" outlineLevel="0" collapsed="false">
      <c r="A16" s="21" t="n">
        <v>13</v>
      </c>
      <c r="B16" s="17" t="s">
        <v>41</v>
      </c>
      <c r="C16" s="22" t="s">
        <v>53</v>
      </c>
      <c r="D16" s="22" t="s">
        <v>57</v>
      </c>
      <c r="E16" s="22" t="s">
        <v>15</v>
      </c>
      <c r="F16" s="23" t="s">
        <v>58</v>
      </c>
      <c r="G16" s="25" t="s">
        <v>56</v>
      </c>
      <c r="H16" s="10" t="s">
        <v>18</v>
      </c>
      <c r="I16" s="24"/>
      <c r="J16" s="22"/>
    </row>
    <row r="17" customFormat="false" ht="51.75" hidden="false" customHeight="true" outlineLevel="0" collapsed="false">
      <c r="A17" s="16" t="n">
        <v>14</v>
      </c>
      <c r="B17" s="17" t="s">
        <v>41</v>
      </c>
      <c r="C17" s="18" t="s">
        <v>53</v>
      </c>
      <c r="D17" s="18" t="s">
        <v>59</v>
      </c>
      <c r="E17" s="18" t="s">
        <v>15</v>
      </c>
      <c r="F17" s="19" t="s">
        <v>60</v>
      </c>
      <c r="G17" s="25" t="s">
        <v>56</v>
      </c>
      <c r="H17" s="10" t="s">
        <v>18</v>
      </c>
      <c r="I17" s="20"/>
      <c r="J17" s="18"/>
    </row>
    <row r="18" customFormat="false" ht="51.75" hidden="false" customHeight="true" outlineLevel="0" collapsed="false">
      <c r="A18" s="21" t="n">
        <v>15</v>
      </c>
      <c r="B18" s="17" t="s">
        <v>41</v>
      </c>
      <c r="C18" s="22" t="s">
        <v>53</v>
      </c>
      <c r="D18" s="22" t="s">
        <v>61</v>
      </c>
      <c r="E18" s="22" t="s">
        <v>15</v>
      </c>
      <c r="F18" s="23" t="s">
        <v>62</v>
      </c>
      <c r="G18" s="25" t="s">
        <v>56</v>
      </c>
      <c r="H18" s="10" t="s">
        <v>18</v>
      </c>
      <c r="I18" s="24"/>
      <c r="J18" s="22"/>
    </row>
    <row r="19" customFormat="false" ht="51.75" hidden="false" customHeight="true" outlineLevel="0" collapsed="false">
      <c r="A19" s="16" t="n">
        <v>16</v>
      </c>
      <c r="B19" s="17" t="s">
        <v>41</v>
      </c>
      <c r="C19" s="18" t="s">
        <v>63</v>
      </c>
      <c r="D19" s="18" t="s">
        <v>64</v>
      </c>
      <c r="E19" s="18" t="s">
        <v>32</v>
      </c>
      <c r="F19" s="19" t="s">
        <v>65</v>
      </c>
      <c r="G19" s="9" t="s">
        <v>17</v>
      </c>
      <c r="H19" s="10" t="s">
        <v>18</v>
      </c>
      <c r="I19" s="20"/>
      <c r="J19" s="18"/>
    </row>
    <row r="20" customFormat="false" ht="51.75" hidden="false" customHeight="true" outlineLevel="0" collapsed="false">
      <c r="A20" s="21" t="n">
        <v>17</v>
      </c>
      <c r="B20" s="17" t="s">
        <v>41</v>
      </c>
      <c r="C20" s="22" t="s">
        <v>66</v>
      </c>
      <c r="D20" s="22" t="s">
        <v>67</v>
      </c>
      <c r="E20" s="22" t="s">
        <v>39</v>
      </c>
      <c r="F20" s="23" t="s">
        <v>68</v>
      </c>
      <c r="G20" s="9" t="s">
        <v>17</v>
      </c>
      <c r="H20" s="10" t="s">
        <v>18</v>
      </c>
      <c r="I20" s="24"/>
      <c r="J20" s="22"/>
    </row>
    <row r="21" customFormat="false" ht="51.75" hidden="false" customHeight="true" outlineLevel="0" collapsed="false">
      <c r="A21" s="26" t="n">
        <v>18</v>
      </c>
      <c r="B21" s="27" t="s">
        <v>69</v>
      </c>
      <c r="C21" s="28" t="s">
        <v>70</v>
      </c>
      <c r="D21" s="28" t="s">
        <v>71</v>
      </c>
      <c r="E21" s="28" t="s">
        <v>32</v>
      </c>
      <c r="F21" s="29" t="s">
        <v>72</v>
      </c>
      <c r="G21" s="9" t="s">
        <v>17</v>
      </c>
      <c r="H21" s="10" t="s">
        <v>18</v>
      </c>
      <c r="I21" s="30"/>
      <c r="J21" s="28"/>
    </row>
    <row r="22" customFormat="false" ht="51.75" hidden="false" customHeight="true" outlineLevel="0" collapsed="false">
      <c r="A22" s="31" t="n">
        <v>19</v>
      </c>
      <c r="B22" s="27" t="s">
        <v>69</v>
      </c>
      <c r="C22" s="32" t="s">
        <v>73</v>
      </c>
      <c r="D22" s="32" t="s">
        <v>74</v>
      </c>
      <c r="E22" s="32" t="s">
        <v>32</v>
      </c>
      <c r="F22" s="33" t="s">
        <v>75</v>
      </c>
      <c r="G22" s="25" t="s">
        <v>56</v>
      </c>
      <c r="H22" s="10" t="s">
        <v>18</v>
      </c>
      <c r="I22" s="34"/>
      <c r="J22" s="32"/>
    </row>
    <row r="23" customFormat="false" ht="51.75" hidden="false" customHeight="true" outlineLevel="0" collapsed="false">
      <c r="A23" s="26" t="n">
        <v>20</v>
      </c>
      <c r="B23" s="27" t="s">
        <v>69</v>
      </c>
      <c r="C23" s="28" t="s">
        <v>76</v>
      </c>
      <c r="D23" s="28" t="s">
        <v>77</v>
      </c>
      <c r="E23" s="28" t="s">
        <v>78</v>
      </c>
      <c r="F23" s="29" t="s">
        <v>79</v>
      </c>
      <c r="G23" s="9" t="s">
        <v>17</v>
      </c>
      <c r="H23" s="10" t="s">
        <v>18</v>
      </c>
      <c r="I23" s="30"/>
      <c r="J23" s="28"/>
    </row>
    <row r="24" customFormat="false" ht="51.75" hidden="false" customHeight="true" outlineLevel="0" collapsed="false">
      <c r="A24" s="31" t="n">
        <v>21</v>
      </c>
      <c r="B24" s="27" t="s">
        <v>69</v>
      </c>
      <c r="C24" s="32" t="s">
        <v>80</v>
      </c>
      <c r="D24" s="32" t="s">
        <v>81</v>
      </c>
      <c r="E24" s="32" t="s">
        <v>21</v>
      </c>
      <c r="F24" s="33" t="s">
        <v>82</v>
      </c>
      <c r="G24" s="9" t="s">
        <v>17</v>
      </c>
      <c r="H24" s="10" t="s">
        <v>18</v>
      </c>
      <c r="I24" s="34"/>
      <c r="J24" s="32"/>
    </row>
    <row r="25" customFormat="false" ht="51.75" hidden="false" customHeight="true" outlineLevel="0" collapsed="false">
      <c r="A25" s="26" t="n">
        <v>22</v>
      </c>
      <c r="B25" s="27" t="s">
        <v>69</v>
      </c>
      <c r="C25" s="28" t="s">
        <v>80</v>
      </c>
      <c r="D25" s="28" t="s">
        <v>83</v>
      </c>
      <c r="E25" s="28" t="s">
        <v>39</v>
      </c>
      <c r="F25" s="29" t="s">
        <v>84</v>
      </c>
      <c r="G25" s="9" t="s">
        <v>17</v>
      </c>
      <c r="H25" s="10" t="s">
        <v>18</v>
      </c>
      <c r="I25" s="30"/>
      <c r="J25" s="28"/>
    </row>
    <row r="27" customFormat="false" ht="25.5" hidden="false" customHeight="true" outlineLevel="0" collapsed="false">
      <c r="A27" s="35" t="s">
        <v>85</v>
      </c>
      <c r="B27" s="35"/>
      <c r="C27" s="35"/>
      <c r="D27" s="36" t="n">
        <f aca="false">COUNTA(D4:D25)</f>
        <v>22</v>
      </c>
      <c r="E27" s="37" t="str">
        <f aca="false">COUNTIF(H4:H25,"Listo") &amp; " listos  |  " &amp; COUNTIF(H4:H25,"En proceso") &amp; " en proceso  |  " &amp; COUNTIF(H4:H25,"Pendiente") &amp; " pendientes"</f>
        <v>0 listos  |  0 en proceso  |  22 pendientes</v>
      </c>
      <c r="F27" s="37"/>
    </row>
  </sheetData>
  <mergeCells count="4">
    <mergeCell ref="A1:J1"/>
    <mergeCell ref="A2:J2"/>
    <mergeCell ref="A27:C27"/>
    <mergeCell ref="E27:F27"/>
  </mergeCells>
  <dataValidations count="1">
    <dataValidation allowBlank="false" errorStyle="stop" operator="between" showDropDown="false" showErrorMessage="false" showInputMessage="false" sqref="H4:H25" type="list">
      <formula1>"Pendiente,En proceso,Listo,Bloqueado"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4"/>
    <col collapsed="false" customWidth="true" hidden="false" outlineLevel="0" max="5" min="5" style="1" width="20"/>
  </cols>
  <sheetData>
    <row r="1" customFormat="false" ht="27.75" hidden="false" customHeight="true" outlineLevel="0" collapsed="false">
      <c r="A1" s="38" t="s">
        <v>86</v>
      </c>
      <c r="B1" s="38"/>
      <c r="C1" s="38"/>
      <c r="D1" s="38"/>
      <c r="E1" s="38"/>
    </row>
    <row r="2" customFormat="false" ht="24" hidden="false" customHeight="true" outlineLevel="0" collapsed="false">
      <c r="A2" s="39" t="s">
        <v>3</v>
      </c>
      <c r="B2" s="39" t="s">
        <v>87</v>
      </c>
      <c r="C2" s="39" t="s">
        <v>88</v>
      </c>
      <c r="D2" s="39" t="s">
        <v>89</v>
      </c>
      <c r="E2" s="39" t="s">
        <v>90</v>
      </c>
    </row>
    <row r="3" customFormat="false" ht="21.75" hidden="false" customHeight="true" outlineLevel="0" collapsed="false">
      <c r="A3" s="40" t="s">
        <v>91</v>
      </c>
      <c r="B3" s="41" t="n">
        <v>7</v>
      </c>
      <c r="C3" s="41" t="n">
        <v>7</v>
      </c>
      <c r="D3" s="41" t="n">
        <v>2</v>
      </c>
      <c r="E3" s="41" t="n">
        <v>3</v>
      </c>
    </row>
    <row r="4" customFormat="false" ht="21.75" hidden="false" customHeight="true" outlineLevel="0" collapsed="false">
      <c r="A4" s="42" t="s">
        <v>92</v>
      </c>
      <c r="B4" s="43" t="n">
        <v>10</v>
      </c>
      <c r="C4" s="43" t="n">
        <v>8</v>
      </c>
      <c r="D4" s="43" t="n">
        <v>6</v>
      </c>
      <c r="E4" s="43" t="n">
        <v>2</v>
      </c>
    </row>
    <row r="5" customFormat="false" ht="21.75" hidden="false" customHeight="true" outlineLevel="0" collapsed="false">
      <c r="A5" s="44" t="s">
        <v>93</v>
      </c>
      <c r="B5" s="45" t="n">
        <v>5</v>
      </c>
      <c r="C5" s="45" t="n">
        <v>4</v>
      </c>
      <c r="D5" s="45" t="n">
        <v>0</v>
      </c>
      <c r="E5" s="45" t="n">
        <v>3</v>
      </c>
    </row>
    <row r="6" customFormat="false" ht="24" hidden="false" customHeight="true" outlineLevel="0" collapsed="false">
      <c r="A6" s="46" t="s">
        <v>94</v>
      </c>
      <c r="B6" s="36" t="n">
        <v>22</v>
      </c>
      <c r="C6" s="36" t="n">
        <v>19</v>
      </c>
      <c r="D6" s="36" t="n">
        <v>8</v>
      </c>
      <c r="E6" s="36" t="n">
        <v>8</v>
      </c>
    </row>
    <row r="8" customFormat="false" ht="15" hidden="false" customHeight="false" outlineLevel="0" collapsed="false">
      <c r="A8" s="47" t="s">
        <v>95</v>
      </c>
    </row>
    <row r="9" customFormat="false" ht="15" hidden="false" customHeight="false" outlineLevel="0" collapsed="false">
      <c r="A9" s="48" t="s">
        <v>18</v>
      </c>
      <c r="B9" s="49" t="s">
        <v>96</v>
      </c>
      <c r="C9" s="49"/>
      <c r="D9" s="49"/>
      <c r="E9" s="49"/>
    </row>
    <row r="10" customFormat="false" ht="15" hidden="false" customHeight="false" outlineLevel="0" collapsed="false">
      <c r="A10" s="50" t="s">
        <v>97</v>
      </c>
      <c r="B10" s="49" t="s">
        <v>98</v>
      </c>
      <c r="C10" s="49"/>
      <c r="D10" s="49"/>
      <c r="E10" s="49"/>
    </row>
    <row r="11" customFormat="false" ht="15" hidden="false" customHeight="false" outlineLevel="0" collapsed="false">
      <c r="A11" s="51" t="s">
        <v>19</v>
      </c>
      <c r="B11" s="49" t="s">
        <v>99</v>
      </c>
      <c r="C11" s="49"/>
      <c r="D11" s="49"/>
      <c r="E11" s="49"/>
    </row>
    <row r="12" customFormat="false" ht="15" hidden="false" customHeight="false" outlineLevel="0" collapsed="false">
      <c r="A12" s="52" t="s">
        <v>100</v>
      </c>
      <c r="B12" s="49" t="s">
        <v>101</v>
      </c>
      <c r="C12" s="49"/>
      <c r="D12" s="49"/>
      <c r="E12" s="49"/>
    </row>
  </sheetData>
  <mergeCells count="5">
    <mergeCell ref="A1:E1"/>
    <mergeCell ref="B9:E9"/>
    <mergeCell ref="B10:E10"/>
    <mergeCell ref="B11:E11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8493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2026-05-09T16:44:13Z</dcterms:created>
  <dc:creator>openpyxl</dc:creator>
  <dc:description/>
  <dc:language>en-US</dc:language>
  <cp:lastModifiedBy/>
  <dcterms:modified xsi:type="dcterms:W3CDTF">2026-05-18T10:34:34Z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